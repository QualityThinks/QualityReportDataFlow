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subagyo\Downloads\"/>
    </mc:Choice>
  </mc:AlternateContent>
  <xr:revisionPtr revIDLastSave="0" documentId="13_ncr:1_{B6FDAEC4-D425-4B8F-8B61-D1AC7494F05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uality Data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G11" i="1"/>
  <c r="K10" i="1"/>
  <c r="G10" i="1"/>
  <c r="K9" i="1"/>
  <c r="G9" i="1"/>
  <c r="K8" i="1"/>
  <c r="G8" i="1"/>
  <c r="K7" i="1"/>
  <c r="G7" i="1"/>
  <c r="K6" i="1"/>
  <c r="G6" i="1"/>
  <c r="K5" i="1"/>
  <c r="G5" i="1"/>
  <c r="K4" i="1"/>
  <c r="G4" i="1"/>
  <c r="K3" i="1"/>
  <c r="G3" i="1"/>
  <c r="K2" i="1"/>
  <c r="G2" i="1"/>
</calcChain>
</file>

<file path=xl/sharedStrings.xml><?xml version="1.0" encoding="utf-8"?>
<sst xmlns="http://schemas.openxmlformats.org/spreadsheetml/2006/main" count="74" uniqueCount="55">
  <si>
    <t>Inspection Date</t>
  </si>
  <si>
    <t>Batch ID</t>
  </si>
  <si>
    <t>Product</t>
  </si>
  <si>
    <t>Process Step</t>
  </si>
  <si>
    <t>Sample Size</t>
  </si>
  <si>
    <t>Defect Qty</t>
  </si>
  <si>
    <t>Defect Rate</t>
  </si>
  <si>
    <t>Measured Value (mm)</t>
  </si>
  <si>
    <t>Lower Spec (mm)</t>
  </si>
  <si>
    <t>Upper Spec (mm)</t>
  </si>
  <si>
    <t>Dimension Status</t>
  </si>
  <si>
    <t>Visual Check</t>
  </si>
  <si>
    <t>Inspector</t>
  </si>
  <si>
    <t>Remarks</t>
  </si>
  <si>
    <t>B-260901-01</t>
  </si>
  <si>
    <t>Gear Housing</t>
  </si>
  <si>
    <t>CNC Machining</t>
  </si>
  <si>
    <t>Pass</t>
  </si>
  <si>
    <t>Andi</t>
  </si>
  <si>
    <t>Minor burr removed</t>
  </si>
  <si>
    <t>B-260901-02</t>
  </si>
  <si>
    <t>Deburring</t>
  </si>
  <si>
    <t>Siti</t>
  </si>
  <si>
    <t>No issue</t>
  </si>
  <si>
    <t>B-260902-01</t>
  </si>
  <si>
    <t>Drive Shaft</t>
  </si>
  <si>
    <t>Turning</t>
  </si>
  <si>
    <t>Fail</t>
  </si>
  <si>
    <t>Budi</t>
  </si>
  <si>
    <t>Diameter above limit</t>
  </si>
  <si>
    <t>B-260902-02</t>
  </si>
  <si>
    <t>Grinding</t>
  </si>
  <si>
    <t>Dewi</t>
  </si>
  <si>
    <t>Reworked one piece</t>
  </si>
  <si>
    <t>B-260903-01</t>
  </si>
  <si>
    <t>Bracket A</t>
  </si>
  <si>
    <t>Stamping</t>
  </si>
  <si>
    <t>Rina</t>
  </si>
  <si>
    <t>Two scratches found</t>
  </si>
  <si>
    <t>B-260903-02</t>
  </si>
  <si>
    <t>Powder Coating</t>
  </si>
  <si>
    <t>Coating thickness low</t>
  </si>
  <si>
    <t>B-260904-01</t>
  </si>
  <si>
    <t>Valve Body</t>
  </si>
  <si>
    <t>Drilling</t>
  </si>
  <si>
    <t>B-260904-02</t>
  </si>
  <si>
    <t>Leak Test</t>
  </si>
  <si>
    <t>Two units leaked</t>
  </si>
  <si>
    <t>B-260905-01</t>
  </si>
  <si>
    <t>Cover Plate</t>
  </si>
  <si>
    <t>Laser Cutting</t>
  </si>
  <si>
    <t>Edge acceptable</t>
  </si>
  <si>
    <t>B-260905-02</t>
  </si>
  <si>
    <t>Final Inspection</t>
  </si>
  <si>
    <t>Released to 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</si>
</sst>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Lucida Console"/>
      <family val="3"/>
    </font>
    <font>
      <sz val="10"/>
      <color theme="1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0"/>
        <color theme="1"/>
        <name val="Lucida Console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ucida Console"/>
        <family val="3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ucida Console"/>
        <family val="3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ucida Console"/>
        <family val="3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ucida Console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ucida Console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ucida Console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ucida Console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ucida Console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ucida Console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ucida Console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ucida Console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ucida Console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ucida Console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ucida Console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ucida Console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ucida Console"/>
        <family val="3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lityInspectionTable" displayName="QualityInspectionTable" ref="A1:N11" headerRowDxfId="2" dataDxfId="0" totalsRowDxfId="1">
  <autoFilter ref="A1:N11" xr:uid="{00000000-0009-0000-0100-000001000000}"/>
  <tableColumns count="14">
    <tableColumn id="1" xr3:uid="{00000000-0010-0000-0000-000001000000}" name="Inspection Date" dataDxfId="16"/>
    <tableColumn id="2" xr3:uid="{00000000-0010-0000-0000-000002000000}" name="Batch ID" dataDxfId="15"/>
    <tableColumn id="3" xr3:uid="{00000000-0010-0000-0000-000003000000}" name="Product" dataDxfId="14"/>
    <tableColumn id="4" xr3:uid="{00000000-0010-0000-0000-000004000000}" name="Process Step" dataDxfId="13"/>
    <tableColumn id="5" xr3:uid="{00000000-0010-0000-0000-000005000000}" name="Sample Size" dataDxfId="12"/>
    <tableColumn id="6" xr3:uid="{00000000-0010-0000-0000-000006000000}" name="Defect Qty" dataDxfId="11"/>
    <tableColumn id="7" xr3:uid="{00000000-0010-0000-0000-000007000000}" name="Defect Rate" dataDxfId="10"/>
    <tableColumn id="8" xr3:uid="{00000000-0010-0000-0000-000008000000}" name="Measured Value (mm)" dataDxfId="9"/>
    <tableColumn id="9" xr3:uid="{00000000-0010-0000-0000-000009000000}" name="Lower Spec (mm)" dataDxfId="8"/>
    <tableColumn id="10" xr3:uid="{00000000-0010-0000-0000-00000A000000}" name="Upper Spec (mm)" dataDxfId="7"/>
    <tableColumn id="11" xr3:uid="{00000000-0010-0000-0000-00000B000000}" name="Dimension Status" dataDxfId="6"/>
    <tableColumn id="12" xr3:uid="{00000000-0010-0000-0000-00000C000000}" name="Visual Check" dataDxfId="5"/>
    <tableColumn id="13" xr3:uid="{00000000-0010-0000-0000-00000D000000}" name="Inspector" dataDxfId="4"/>
    <tableColumn id="14" xr3:uid="{00000000-0010-0000-0000-00000E000000}" name="Remarks" dataDxf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1"/>
  <sheetViews>
    <sheetView showGridLines="0" tabSelected="1" workbookViewId="0">
      <pane ySplit="1" topLeftCell="A2" activePane="bottomLeft" state="frozen"/>
      <selection pane="bottomLeft" activeCell="K17" sqref="K17"/>
    </sheetView>
  </sheetViews>
  <sheetFormatPr defaultRowHeight="14.5" x14ac:dyDescent="0.35"/>
  <cols>
    <col min="1" max="1" width="17.36328125" bestFit="1" customWidth="1"/>
    <col min="2" max="2" width="15" bestFit="1" customWidth="1"/>
    <col min="3" max="3" width="18" customWidth="1"/>
    <col min="4" max="4" width="20" customWidth="1"/>
    <col min="5" max="5" width="12" customWidth="1"/>
    <col min="6" max="6" width="11" customWidth="1"/>
    <col min="7" max="7" width="12" customWidth="1"/>
    <col min="8" max="8" width="19" customWidth="1"/>
    <col min="9" max="10" width="16" customWidth="1"/>
    <col min="11" max="11" width="17" customWidth="1"/>
    <col min="12" max="12" width="14" customWidth="1"/>
    <col min="13" max="13" width="13" customWidth="1"/>
    <col min="14" max="14" width="25" customWidth="1"/>
  </cols>
  <sheetData>
    <row r="1" spans="1:14" ht="3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46266</v>
      </c>
      <c r="B2" s="3" t="s">
        <v>14</v>
      </c>
      <c r="C2" s="3" t="s">
        <v>15</v>
      </c>
      <c r="D2" s="3" t="s">
        <v>16</v>
      </c>
      <c r="E2" s="3">
        <v>50</v>
      </c>
      <c r="F2" s="3">
        <v>1</v>
      </c>
      <c r="G2" s="4">
        <f t="shared" ref="G2:G11" si="0">IFERROR(F2/E2,0)</f>
        <v>0.02</v>
      </c>
      <c r="H2" s="5">
        <v>49.98</v>
      </c>
      <c r="I2" s="5">
        <v>49.9</v>
      </c>
      <c r="J2" s="5">
        <v>50.1</v>
      </c>
      <c r="K2" s="3" t="str">
        <f t="shared" ref="K2:K11" si="1">IF(AND(H2&gt;=I2,H2&lt;=J2),"Pass","Fail")</f>
        <v>Pass</v>
      </c>
      <c r="L2" s="3" t="s">
        <v>17</v>
      </c>
      <c r="M2" s="3" t="s">
        <v>18</v>
      </c>
      <c r="N2" s="6" t="s">
        <v>19</v>
      </c>
    </row>
    <row r="3" spans="1:14" x14ac:dyDescent="0.35">
      <c r="A3" s="2">
        <v>46266</v>
      </c>
      <c r="B3" s="3" t="s">
        <v>20</v>
      </c>
      <c r="C3" s="3" t="s">
        <v>15</v>
      </c>
      <c r="D3" s="3" t="s">
        <v>21</v>
      </c>
      <c r="E3" s="3">
        <v>50</v>
      </c>
      <c r="F3" s="3">
        <v>0</v>
      </c>
      <c r="G3" s="4">
        <f t="shared" si="0"/>
        <v>0</v>
      </c>
      <c r="H3" s="5">
        <v>50.02</v>
      </c>
      <c r="I3" s="5">
        <v>49.9</v>
      </c>
      <c r="J3" s="5">
        <v>50.1</v>
      </c>
      <c r="K3" s="3" t="str">
        <f t="shared" si="1"/>
        <v>Pass</v>
      </c>
      <c r="L3" s="3" t="s">
        <v>17</v>
      </c>
      <c r="M3" s="3" t="s">
        <v>22</v>
      </c>
      <c r="N3" s="6" t="s">
        <v>23</v>
      </c>
    </row>
    <row r="4" spans="1:14" x14ac:dyDescent="0.35">
      <c r="A4" s="2">
        <v>46267</v>
      </c>
      <c r="B4" s="3" t="s">
        <v>24</v>
      </c>
      <c r="C4" s="3" t="s">
        <v>25</v>
      </c>
      <c r="D4" s="3" t="s">
        <v>26</v>
      </c>
      <c r="E4" s="3">
        <v>40</v>
      </c>
      <c r="F4" s="3">
        <v>3</v>
      </c>
      <c r="G4" s="4">
        <f t="shared" si="0"/>
        <v>7.4999999999999997E-2</v>
      </c>
      <c r="H4" s="5">
        <v>25.14</v>
      </c>
      <c r="I4" s="5">
        <v>24.9</v>
      </c>
      <c r="J4" s="5">
        <v>25.1</v>
      </c>
      <c r="K4" s="3" t="str">
        <f t="shared" si="1"/>
        <v>Fail</v>
      </c>
      <c r="L4" s="3" t="s">
        <v>27</v>
      </c>
      <c r="M4" s="3" t="s">
        <v>28</v>
      </c>
      <c r="N4" s="6" t="s">
        <v>29</v>
      </c>
    </row>
    <row r="5" spans="1:14" x14ac:dyDescent="0.35">
      <c r="A5" s="2">
        <v>46267</v>
      </c>
      <c r="B5" s="3" t="s">
        <v>30</v>
      </c>
      <c r="C5" s="3" t="s">
        <v>25</v>
      </c>
      <c r="D5" s="3" t="s">
        <v>31</v>
      </c>
      <c r="E5" s="3">
        <v>40</v>
      </c>
      <c r="F5" s="3">
        <v>1</v>
      </c>
      <c r="G5" s="4">
        <f t="shared" si="0"/>
        <v>2.5000000000000001E-2</v>
      </c>
      <c r="H5" s="5">
        <v>25.06</v>
      </c>
      <c r="I5" s="5">
        <v>24.9</v>
      </c>
      <c r="J5" s="5">
        <v>25.1</v>
      </c>
      <c r="K5" s="3" t="str">
        <f t="shared" si="1"/>
        <v>Pass</v>
      </c>
      <c r="L5" s="3" t="s">
        <v>17</v>
      </c>
      <c r="M5" s="3" t="s">
        <v>32</v>
      </c>
      <c r="N5" s="6" t="s">
        <v>33</v>
      </c>
    </row>
    <row r="6" spans="1:14" x14ac:dyDescent="0.35">
      <c r="A6" s="2">
        <v>46268</v>
      </c>
      <c r="B6" s="3" t="s">
        <v>34</v>
      </c>
      <c r="C6" s="3" t="s">
        <v>35</v>
      </c>
      <c r="D6" s="3" t="s">
        <v>36</v>
      </c>
      <c r="E6" s="3">
        <v>60</v>
      </c>
      <c r="F6" s="3">
        <v>2</v>
      </c>
      <c r="G6" s="4">
        <f t="shared" si="0"/>
        <v>3.3333333333333333E-2</v>
      </c>
      <c r="H6" s="5">
        <v>10.01</v>
      </c>
      <c r="I6" s="5">
        <v>9.9</v>
      </c>
      <c r="J6" s="5">
        <v>10.1</v>
      </c>
      <c r="K6" s="3" t="str">
        <f t="shared" si="1"/>
        <v>Pass</v>
      </c>
      <c r="L6" s="3" t="s">
        <v>17</v>
      </c>
      <c r="M6" s="3" t="s">
        <v>37</v>
      </c>
      <c r="N6" s="6" t="s">
        <v>38</v>
      </c>
    </row>
    <row r="7" spans="1:14" x14ac:dyDescent="0.35">
      <c r="A7" s="2">
        <v>46268</v>
      </c>
      <c r="B7" s="3" t="s">
        <v>39</v>
      </c>
      <c r="C7" s="3" t="s">
        <v>35</v>
      </c>
      <c r="D7" s="3" t="s">
        <v>40</v>
      </c>
      <c r="E7" s="3">
        <v>60</v>
      </c>
      <c r="F7" s="3">
        <v>4</v>
      </c>
      <c r="G7" s="4">
        <f t="shared" si="0"/>
        <v>6.6666666666666666E-2</v>
      </c>
      <c r="H7" s="5">
        <v>9.8800000000000008</v>
      </c>
      <c r="I7" s="5">
        <v>9.9</v>
      </c>
      <c r="J7" s="5">
        <v>10.1</v>
      </c>
      <c r="K7" s="3" t="str">
        <f t="shared" si="1"/>
        <v>Fail</v>
      </c>
      <c r="L7" s="3" t="s">
        <v>27</v>
      </c>
      <c r="M7" s="3" t="s">
        <v>18</v>
      </c>
      <c r="N7" s="6" t="s">
        <v>41</v>
      </c>
    </row>
    <row r="8" spans="1:14" x14ac:dyDescent="0.35">
      <c r="A8" s="2">
        <v>46269</v>
      </c>
      <c r="B8" s="3" t="s">
        <v>42</v>
      </c>
      <c r="C8" s="3" t="s">
        <v>43</v>
      </c>
      <c r="D8" s="3" t="s">
        <v>44</v>
      </c>
      <c r="E8" s="3">
        <v>45</v>
      </c>
      <c r="F8" s="3">
        <v>0</v>
      </c>
      <c r="G8" s="4">
        <f t="shared" si="0"/>
        <v>0</v>
      </c>
      <c r="H8" s="5">
        <v>15</v>
      </c>
      <c r="I8" s="5">
        <v>14.95</v>
      </c>
      <c r="J8" s="5">
        <v>15.05</v>
      </c>
      <c r="K8" s="3" t="str">
        <f t="shared" si="1"/>
        <v>Pass</v>
      </c>
      <c r="L8" s="3" t="s">
        <v>17</v>
      </c>
      <c r="M8" s="3" t="s">
        <v>22</v>
      </c>
      <c r="N8" s="6" t="s">
        <v>23</v>
      </c>
    </row>
    <row r="9" spans="1:14" x14ac:dyDescent="0.35">
      <c r="A9" s="2">
        <v>46269</v>
      </c>
      <c r="B9" s="3" t="s">
        <v>45</v>
      </c>
      <c r="C9" s="3" t="s">
        <v>43</v>
      </c>
      <c r="D9" s="3" t="s">
        <v>46</v>
      </c>
      <c r="E9" s="3">
        <v>45</v>
      </c>
      <c r="F9" s="3">
        <v>2</v>
      </c>
      <c r="G9" s="4">
        <f t="shared" si="0"/>
        <v>4.4444444444444446E-2</v>
      </c>
      <c r="H9" s="5">
        <v>15.03</v>
      </c>
      <c r="I9" s="5">
        <v>14.95</v>
      </c>
      <c r="J9" s="5">
        <v>15.05</v>
      </c>
      <c r="K9" s="3" t="str">
        <f t="shared" si="1"/>
        <v>Pass</v>
      </c>
      <c r="L9" s="3" t="s">
        <v>27</v>
      </c>
      <c r="M9" s="3" t="s">
        <v>28</v>
      </c>
      <c r="N9" s="6" t="s">
        <v>47</v>
      </c>
    </row>
    <row r="10" spans="1:14" x14ac:dyDescent="0.35">
      <c r="A10" s="2">
        <v>46270</v>
      </c>
      <c r="B10" s="3" t="s">
        <v>48</v>
      </c>
      <c r="C10" s="3" t="s">
        <v>49</v>
      </c>
      <c r="D10" s="3" t="s">
        <v>50</v>
      </c>
      <c r="E10" s="3">
        <v>55</v>
      </c>
      <c r="F10" s="3">
        <v>1</v>
      </c>
      <c r="G10" s="4">
        <f t="shared" si="0"/>
        <v>1.8181818181818181E-2</v>
      </c>
      <c r="H10" s="5">
        <v>80.08</v>
      </c>
      <c r="I10" s="5">
        <v>79.900000000000006</v>
      </c>
      <c r="J10" s="5">
        <v>80.099999999999994</v>
      </c>
      <c r="K10" s="3" t="str">
        <f t="shared" si="1"/>
        <v>Pass</v>
      </c>
      <c r="L10" s="3" t="s">
        <v>17</v>
      </c>
      <c r="M10" s="3" t="s">
        <v>32</v>
      </c>
      <c r="N10" s="6" t="s">
        <v>51</v>
      </c>
    </row>
    <row r="11" spans="1:14" x14ac:dyDescent="0.35">
      <c r="A11" s="2">
        <v>46270</v>
      </c>
      <c r="B11" s="3" t="s">
        <v>52</v>
      </c>
      <c r="C11" s="3" t="s">
        <v>49</v>
      </c>
      <c r="D11" s="3" t="s">
        <v>53</v>
      </c>
      <c r="E11" s="3">
        <v>55</v>
      </c>
      <c r="F11" s="3">
        <v>0</v>
      </c>
      <c r="G11" s="4">
        <f t="shared" si="0"/>
        <v>0</v>
      </c>
      <c r="H11" s="5">
        <v>79.989999999999995</v>
      </c>
      <c r="I11" s="5">
        <v>79.900000000000006</v>
      </c>
      <c r="J11" s="5">
        <v>80.099999999999994</v>
      </c>
      <c r="K11" s="3" t="str">
        <f t="shared" si="1"/>
        <v>Pass</v>
      </c>
      <c r="L11" s="3" t="s">
        <v>17</v>
      </c>
      <c r="M11" s="3" t="s">
        <v>37</v>
      </c>
      <c r="N11" s="6" t="s">
        <v>54</v>
      </c>
    </row>
  </sheetData>
  <conditionalFormatting sqref="K2:L11">
    <cfRule type="expression" dxfId="18" priority="1">
      <formula>K2="Fail"</formula>
    </cfRule>
    <cfRule type="expression" dxfId="17" priority="2">
      <formula>K2="Pass"</formula>
    </cfRule>
  </conditionalFormatting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Subagyo, Joshua Nehemia</dc:creator>
  <cp:lastModifiedBy>Subagyo, Joshua Nehemia</cp:lastModifiedBy>
  <dcterms:created xsi:type="dcterms:W3CDTF">2026-09-16T01:33:32Z</dcterms:created>
  <dcterms:modified xsi:type="dcterms:W3CDTF">2026-09-16T01:41:30Z</dcterms:modified>
</cp:coreProperties>
</file>